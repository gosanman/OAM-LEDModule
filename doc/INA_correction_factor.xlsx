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penKNX_Module\OAM-LEDModule\OAM-LEDModule\doc\"/>
    </mc:Choice>
  </mc:AlternateContent>
  <xr:revisionPtr revIDLastSave="0" documentId="13_ncr:1_{C62C67DD-5B21-44B6-9C6B-602FD5805E27}" xr6:coauthVersionLast="36" xr6:coauthVersionMax="36" xr10:uidLastSave="{00000000-0000-0000-0000-000000000000}"/>
  <bookViews>
    <workbookView xWindow="0" yWindow="0" windowWidth="51600" windowHeight="16725" xr2:uid="{04B6E236-C647-4E47-A6F6-11AF5CF2579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" i="1" l="1"/>
  <c r="G5" i="1"/>
  <c r="G6" i="1"/>
  <c r="G7" i="1"/>
  <c r="G8" i="1"/>
  <c r="G9" i="1"/>
  <c r="G10" i="1"/>
  <c r="G11" i="1"/>
  <c r="G30" i="1"/>
  <c r="G4" i="1"/>
  <c r="G12" i="1"/>
  <c r="G13" i="1"/>
  <c r="G14" i="1"/>
  <c r="G29" i="1"/>
  <c r="G28" i="1"/>
  <c r="G27" i="1"/>
  <c r="G26" i="1"/>
  <c r="G24" i="1"/>
  <c r="G16" i="1"/>
  <c r="G17" i="1"/>
  <c r="G18" i="1"/>
  <c r="G19" i="1"/>
  <c r="G20" i="1"/>
  <c r="G21" i="1"/>
  <c r="G22" i="1"/>
  <c r="G23" i="1"/>
  <c r="G25" i="1"/>
  <c r="G15" i="1"/>
</calcChain>
</file>

<file path=xl/sharedStrings.xml><?xml version="1.0" encoding="utf-8"?>
<sst xmlns="http://schemas.openxmlformats.org/spreadsheetml/2006/main" count="88" uniqueCount="10">
  <si>
    <t>INA 226 Current Correction Factor</t>
  </si>
  <si>
    <t>calibrated equipment</t>
  </si>
  <si>
    <t>ina226</t>
  </si>
  <si>
    <t>CR</t>
  </si>
  <si>
    <t>A</t>
  </si>
  <si>
    <t>Correction Factor</t>
  </si>
  <si>
    <t>Ohm</t>
  </si>
  <si>
    <t>Value to set</t>
  </si>
  <si>
    <t>Off</t>
  </si>
  <si>
    <t>Standby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</si>
</sst>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2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169" fontId="0" fillId="0" borderId="0" xfId="0" applyNumberFormat="1" applyBorder="1"/>
    <xf numFmtId="0" fontId="0" fillId="0" borderId="2" xfId="0" applyBorder="1"/>
    <xf numFmtId="0" fontId="0" fillId="0" borderId="0" xfId="0" applyBorder="1"/>
    <xf numFmtId="0" fontId="0" fillId="0" borderId="0" xfId="0" applyFill="1" applyBorder="1"/>
    <xf numFmtId="169" fontId="0" fillId="0" borderId="0" xfId="0" applyNumberFormat="1" applyFill="1" applyBorder="1"/>
    <xf numFmtId="0" fontId="0" fillId="0" borderId="2" xfId="0" applyFill="1" applyBorder="1"/>
    <xf numFmtId="0" fontId="0" fillId="0" borderId="0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5" xfId="0" applyFill="1" applyBorder="1" applyAlignment="1">
      <alignment horizontal="left"/>
    </xf>
    <xf numFmtId="169" fontId="0" fillId="2" borderId="4" xfId="0" applyNumberFormat="1" applyFill="1" applyBorder="1"/>
    <xf numFmtId="0" fontId="0" fillId="2" borderId="5" xfId="0" applyFill="1" applyBorder="1"/>
    <xf numFmtId="2" fontId="0" fillId="2" borderId="4" xfId="0" applyNumberFormat="1" applyFill="1" applyBorder="1"/>
    <xf numFmtId="2" fontId="0" fillId="3" borderId="6" xfId="0" applyNumberForma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v>CE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Tabelle1!$A$5:$A$30</c:f>
              <c:numCache>
                <c:formatCode>General</c:formatCode>
                <c:ptCount val="26"/>
                <c:pt idx="0">
                  <c:v>200</c:v>
                </c:pt>
                <c:pt idx="1">
                  <c:v>190</c:v>
                </c:pt>
                <c:pt idx="2">
                  <c:v>180</c:v>
                </c:pt>
                <c:pt idx="3">
                  <c:v>170</c:v>
                </c:pt>
                <c:pt idx="4">
                  <c:v>160</c:v>
                </c:pt>
                <c:pt idx="5">
                  <c:v>150</c:v>
                </c:pt>
                <c:pt idx="6">
                  <c:v>140</c:v>
                </c:pt>
                <c:pt idx="7">
                  <c:v>130</c:v>
                </c:pt>
                <c:pt idx="8">
                  <c:v>120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70</c:v>
                </c:pt>
                <c:pt idx="14">
                  <c:v>60</c:v>
                </c:pt>
                <c:pt idx="15">
                  <c:v>50</c:v>
                </c:pt>
                <c:pt idx="16">
                  <c:v>40</c:v>
                </c:pt>
                <c:pt idx="17">
                  <c:v>30</c:v>
                </c:pt>
                <c:pt idx="18">
                  <c:v>20</c:v>
                </c:pt>
                <c:pt idx="19">
                  <c:v>15</c:v>
                </c:pt>
                <c:pt idx="20">
                  <c:v>10</c:v>
                </c:pt>
                <c:pt idx="21">
                  <c:v>9</c:v>
                </c:pt>
                <c:pt idx="22">
                  <c:v>8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</c:numCache>
            </c:numRef>
          </c:cat>
          <c:val>
            <c:numRef>
              <c:f>Tabelle1!$C$5:$C$30</c:f>
              <c:numCache>
                <c:formatCode>0.000</c:formatCode>
                <c:ptCount val="26"/>
                <c:pt idx="0">
                  <c:v>0.127</c:v>
                </c:pt>
                <c:pt idx="1">
                  <c:v>0.13300000000000001</c:v>
                </c:pt>
                <c:pt idx="2">
                  <c:v>0.14000000000000001</c:v>
                </c:pt>
                <c:pt idx="3">
                  <c:v>0.14799999999999999</c:v>
                </c:pt>
                <c:pt idx="4">
                  <c:v>0.156</c:v>
                </c:pt>
                <c:pt idx="5">
                  <c:v>0.16600000000000001</c:v>
                </c:pt>
                <c:pt idx="6">
                  <c:v>0.17699999999999999</c:v>
                </c:pt>
                <c:pt idx="7">
                  <c:v>0.189</c:v>
                </c:pt>
                <c:pt idx="8">
                  <c:v>0.20300000000000001</c:v>
                </c:pt>
                <c:pt idx="9">
                  <c:v>0.216</c:v>
                </c:pt>
                <c:pt idx="10">
                  <c:v>0.25</c:v>
                </c:pt>
                <c:pt idx="11">
                  <c:v>0.27800000000000002</c:v>
                </c:pt>
                <c:pt idx="12">
                  <c:v>0.311</c:v>
                </c:pt>
                <c:pt idx="13">
                  <c:v>0.35399999999999998</c:v>
                </c:pt>
                <c:pt idx="14">
                  <c:v>0.41099999999999998</c:v>
                </c:pt>
                <c:pt idx="15">
                  <c:v>0.49</c:v>
                </c:pt>
                <c:pt idx="16">
                  <c:v>0.60899999999999999</c:v>
                </c:pt>
                <c:pt idx="17">
                  <c:v>0.80600000000000005</c:v>
                </c:pt>
                <c:pt idx="18">
                  <c:v>1.1970000000000001</c:v>
                </c:pt>
                <c:pt idx="19">
                  <c:v>1.5820000000000001</c:v>
                </c:pt>
                <c:pt idx="20">
                  <c:v>2.35</c:v>
                </c:pt>
                <c:pt idx="21">
                  <c:v>2.5990000000000002</c:v>
                </c:pt>
                <c:pt idx="22">
                  <c:v>2.91</c:v>
                </c:pt>
                <c:pt idx="23">
                  <c:v>3.3140000000000001</c:v>
                </c:pt>
                <c:pt idx="24">
                  <c:v>3.8330000000000002</c:v>
                </c:pt>
                <c:pt idx="25">
                  <c:v>4.5590000000000002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E6B-471F-BC9B-59D0DA93918B}"/>
            </c:ext>
          </c:extLst>
        </c:ser>
        <c:ser>
          <c:idx val="2"/>
          <c:order val="1"/>
          <c:tx>
            <c:v>INA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Tabelle1!$A$5:$A$30</c:f>
              <c:numCache>
                <c:formatCode>General</c:formatCode>
                <c:ptCount val="26"/>
                <c:pt idx="0">
                  <c:v>200</c:v>
                </c:pt>
                <c:pt idx="1">
                  <c:v>190</c:v>
                </c:pt>
                <c:pt idx="2">
                  <c:v>180</c:v>
                </c:pt>
                <c:pt idx="3">
                  <c:v>170</c:v>
                </c:pt>
                <c:pt idx="4">
                  <c:v>160</c:v>
                </c:pt>
                <c:pt idx="5">
                  <c:v>150</c:v>
                </c:pt>
                <c:pt idx="6">
                  <c:v>140</c:v>
                </c:pt>
                <c:pt idx="7">
                  <c:v>130</c:v>
                </c:pt>
                <c:pt idx="8">
                  <c:v>120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70</c:v>
                </c:pt>
                <c:pt idx="14">
                  <c:v>60</c:v>
                </c:pt>
                <c:pt idx="15">
                  <c:v>50</c:v>
                </c:pt>
                <c:pt idx="16">
                  <c:v>40</c:v>
                </c:pt>
                <c:pt idx="17">
                  <c:v>30</c:v>
                </c:pt>
                <c:pt idx="18">
                  <c:v>20</c:v>
                </c:pt>
                <c:pt idx="19">
                  <c:v>15</c:v>
                </c:pt>
                <c:pt idx="20">
                  <c:v>10</c:v>
                </c:pt>
                <c:pt idx="21">
                  <c:v>9</c:v>
                </c:pt>
                <c:pt idx="22">
                  <c:v>8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</c:numCache>
            </c:numRef>
          </c:cat>
          <c:val>
            <c:numRef>
              <c:f>Tabelle1!$E$5:$E$30</c:f>
              <c:numCache>
                <c:formatCode>0.000</c:formatCode>
                <c:ptCount val="26"/>
                <c:pt idx="0">
                  <c:v>0.13900000000000001</c:v>
                </c:pt>
                <c:pt idx="1">
                  <c:v>0.14499999999999999</c:v>
                </c:pt>
                <c:pt idx="2">
                  <c:v>0.152</c:v>
                </c:pt>
                <c:pt idx="3">
                  <c:v>0.16</c:v>
                </c:pt>
                <c:pt idx="4">
                  <c:v>0.16800000000000001</c:v>
                </c:pt>
                <c:pt idx="5">
                  <c:v>0.17799999999999999</c:v>
                </c:pt>
                <c:pt idx="6">
                  <c:v>0.189</c:v>
                </c:pt>
                <c:pt idx="7">
                  <c:v>0.2</c:v>
                </c:pt>
                <c:pt idx="8">
                  <c:v>0.215</c:v>
                </c:pt>
                <c:pt idx="9">
                  <c:v>0.22900000000000001</c:v>
                </c:pt>
                <c:pt idx="10">
                  <c:v>0.26200000000000001</c:v>
                </c:pt>
                <c:pt idx="11">
                  <c:v>0.28999999999999998</c:v>
                </c:pt>
                <c:pt idx="12">
                  <c:v>0.32300000000000001</c:v>
                </c:pt>
                <c:pt idx="13">
                  <c:v>0.36699999999999999</c:v>
                </c:pt>
                <c:pt idx="14">
                  <c:v>0.42299999999999999</c:v>
                </c:pt>
                <c:pt idx="15">
                  <c:v>0.503</c:v>
                </c:pt>
                <c:pt idx="16">
                  <c:v>0.623</c:v>
                </c:pt>
                <c:pt idx="17">
                  <c:v>0.82099999999999995</c:v>
                </c:pt>
                <c:pt idx="18">
                  <c:v>1.2130000000000001</c:v>
                </c:pt>
                <c:pt idx="19">
                  <c:v>1.6</c:v>
                </c:pt>
                <c:pt idx="20">
                  <c:v>2.3719999999999999</c:v>
                </c:pt>
                <c:pt idx="21">
                  <c:v>2.621</c:v>
                </c:pt>
                <c:pt idx="22">
                  <c:v>2.9350000000000001</c:v>
                </c:pt>
                <c:pt idx="23">
                  <c:v>3.339</c:v>
                </c:pt>
                <c:pt idx="24">
                  <c:v>3.86</c:v>
                </c:pt>
                <c:pt idx="25">
                  <c:v>4.5910000000000002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E6B-471F-BC9B-59D0DA939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1680912"/>
        <c:axId val="1689195792"/>
      </c:lineChart>
      <c:lineChart>
        <c:grouping val="standard"/>
        <c:varyColors val="0"/>
        <c:ser>
          <c:idx val="3"/>
          <c:order val="2"/>
          <c:tx>
            <c:v>CF</c:v>
          </c:tx>
          <c:spPr>
            <a:ln w="22225" cap="rnd" cmpd="sng" algn="ctr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Tabelle1!$A$5:$A$30</c:f>
              <c:numCache>
                <c:formatCode>General</c:formatCode>
                <c:ptCount val="26"/>
                <c:pt idx="0">
                  <c:v>200</c:v>
                </c:pt>
                <c:pt idx="1">
                  <c:v>190</c:v>
                </c:pt>
                <c:pt idx="2">
                  <c:v>180</c:v>
                </c:pt>
                <c:pt idx="3">
                  <c:v>170</c:v>
                </c:pt>
                <c:pt idx="4">
                  <c:v>160</c:v>
                </c:pt>
                <c:pt idx="5">
                  <c:v>150</c:v>
                </c:pt>
                <c:pt idx="6">
                  <c:v>140</c:v>
                </c:pt>
                <c:pt idx="7">
                  <c:v>130</c:v>
                </c:pt>
                <c:pt idx="8">
                  <c:v>120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70</c:v>
                </c:pt>
                <c:pt idx="14">
                  <c:v>60</c:v>
                </c:pt>
                <c:pt idx="15">
                  <c:v>50</c:v>
                </c:pt>
                <c:pt idx="16">
                  <c:v>40</c:v>
                </c:pt>
                <c:pt idx="17">
                  <c:v>30</c:v>
                </c:pt>
                <c:pt idx="18">
                  <c:v>20</c:v>
                </c:pt>
                <c:pt idx="19">
                  <c:v>15</c:v>
                </c:pt>
                <c:pt idx="20">
                  <c:v>10</c:v>
                </c:pt>
                <c:pt idx="21">
                  <c:v>9</c:v>
                </c:pt>
                <c:pt idx="22">
                  <c:v>8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</c:numCache>
            </c:numRef>
          </c:cat>
          <c:val>
            <c:numRef>
              <c:f>Tabelle1!$G$5:$G$30</c:f>
              <c:numCache>
                <c:formatCode>0.00</c:formatCode>
                <c:ptCount val="26"/>
                <c:pt idx="0">
                  <c:v>0.91366906474820142</c:v>
                </c:pt>
                <c:pt idx="1">
                  <c:v>0.917241379310345</c:v>
                </c:pt>
                <c:pt idx="2">
                  <c:v>0.92105263157894746</c:v>
                </c:pt>
                <c:pt idx="3">
                  <c:v>0.92499999999999993</c:v>
                </c:pt>
                <c:pt idx="4">
                  <c:v>0.92857142857142849</c:v>
                </c:pt>
                <c:pt idx="5">
                  <c:v>0.93258426966292141</c:v>
                </c:pt>
                <c:pt idx="6">
                  <c:v>0.9365079365079364</c:v>
                </c:pt>
                <c:pt idx="7">
                  <c:v>0.94499999999999995</c:v>
                </c:pt>
                <c:pt idx="8">
                  <c:v>0.94418604651162796</c:v>
                </c:pt>
                <c:pt idx="9">
                  <c:v>0.94323144104803491</c:v>
                </c:pt>
                <c:pt idx="10">
                  <c:v>0.95419847328244267</c:v>
                </c:pt>
                <c:pt idx="11">
                  <c:v>0.95862068965517255</c:v>
                </c:pt>
                <c:pt idx="12">
                  <c:v>0.96284829721362231</c:v>
                </c:pt>
                <c:pt idx="13">
                  <c:v>0.96457765667574924</c:v>
                </c:pt>
                <c:pt idx="14">
                  <c:v>0.97163120567375882</c:v>
                </c:pt>
                <c:pt idx="15">
                  <c:v>0.97415506958250497</c:v>
                </c:pt>
                <c:pt idx="16">
                  <c:v>0.97752808988764039</c:v>
                </c:pt>
                <c:pt idx="17">
                  <c:v>0.98172959805115723</c:v>
                </c:pt>
                <c:pt idx="18">
                  <c:v>0.98680956306677658</c:v>
                </c:pt>
                <c:pt idx="19">
                  <c:v>0.98875000000000002</c:v>
                </c:pt>
                <c:pt idx="20">
                  <c:v>0.99072512647554811</c:v>
                </c:pt>
                <c:pt idx="21">
                  <c:v>0.99160625715375816</c:v>
                </c:pt>
                <c:pt idx="22">
                  <c:v>0.99148211243611584</c:v>
                </c:pt>
                <c:pt idx="23">
                  <c:v>0.99251272836178495</c:v>
                </c:pt>
                <c:pt idx="24">
                  <c:v>0.99300518134715032</c:v>
                </c:pt>
                <c:pt idx="25">
                  <c:v>0.99302984099324765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E6B-471F-BC9B-59D0DA939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2194352"/>
        <c:axId val="1690071040"/>
      </c:lineChart>
      <c:catAx>
        <c:axId val="1691680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Ohm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9195792"/>
        <c:crosses val="autoZero"/>
        <c:auto val="1"/>
        <c:lblAlgn val="ctr"/>
        <c:lblOffset val="100"/>
        <c:noMultiLvlLbl val="0"/>
      </c:catAx>
      <c:valAx>
        <c:axId val="1689195792"/>
        <c:scaling>
          <c:logBase val="8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Amper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91680912"/>
        <c:crosses val="autoZero"/>
        <c:crossBetween val="between"/>
      </c:valAx>
      <c:valAx>
        <c:axId val="169007104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42194352"/>
        <c:crosses val="max"/>
        <c:crossBetween val="between"/>
      </c:valAx>
      <c:catAx>
        <c:axId val="2042194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0071040"/>
        <c:crosses val="autoZero"/>
        <c:auto val="1"/>
        <c:lblAlgn val="ctr"/>
        <c:lblOffset val="100"/>
        <c:noMultiLvlLbl val="0"/>
      </c:cat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761999</xdr:colOff>
      <xdr:row>3</xdr:row>
      <xdr:rowOff>1</xdr:rowOff>
    </xdr:from>
    <xdr:to>
      <xdr:col>20</xdr:col>
      <xdr:colOff>428625</xdr:colOff>
      <xdr:row>31</xdr:row>
      <xdr:rowOff>9525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4A6537C-58CD-4FEF-A207-340AC5884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8FC7D-96BA-4319-A9F8-EE1F81CE857B}">
  <dimension ref="A1:G33"/>
  <sheetViews>
    <sheetView tabSelected="1" workbookViewId="0">
      <selection activeCell="X14" sqref="X14"/>
    </sheetView>
  </sheetViews>
  <sheetFormatPr baseColWidth="10" defaultRowHeight="15" x14ac:dyDescent="0.25"/>
  <cols>
    <col min="3" max="3" width="12.7109375" customWidth="1"/>
    <col min="7" max="7" width="17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2"/>
    </row>
    <row r="3" spans="1:7" x14ac:dyDescent="0.25">
      <c r="A3" s="5" t="s">
        <v>3</v>
      </c>
      <c r="B3" s="7"/>
      <c r="C3" s="5" t="s">
        <v>1</v>
      </c>
      <c r="D3" s="7"/>
      <c r="E3" s="5" t="s">
        <v>2</v>
      </c>
      <c r="F3" s="7"/>
      <c r="G3" s="6" t="s">
        <v>5</v>
      </c>
    </row>
    <row r="4" spans="1:7" x14ac:dyDescent="0.25">
      <c r="A4" s="15" t="s">
        <v>8</v>
      </c>
      <c r="B4" s="16" t="s">
        <v>9</v>
      </c>
      <c r="C4" s="17">
        <v>7.8700000000000003E-3</v>
      </c>
      <c r="D4" s="18" t="s">
        <v>4</v>
      </c>
      <c r="E4" s="17">
        <v>1.7822000000000001E-2</v>
      </c>
      <c r="F4" s="18" t="s">
        <v>4</v>
      </c>
      <c r="G4" s="19">
        <f t="shared" ref="G4:G14" si="0">C4/E4</f>
        <v>0.44158904724497811</v>
      </c>
    </row>
    <row r="5" spans="1:7" x14ac:dyDescent="0.25">
      <c r="A5" s="14">
        <v>200</v>
      </c>
      <c r="B5" s="9" t="s">
        <v>6</v>
      </c>
      <c r="C5" s="8">
        <v>0.127</v>
      </c>
      <c r="D5" s="9" t="s">
        <v>4</v>
      </c>
      <c r="E5" s="8">
        <v>0.13900000000000001</v>
      </c>
      <c r="F5" s="9" t="s">
        <v>4</v>
      </c>
      <c r="G5" s="3">
        <f t="shared" si="0"/>
        <v>0.91366906474820142</v>
      </c>
    </row>
    <row r="6" spans="1:7" x14ac:dyDescent="0.25">
      <c r="A6" s="14">
        <v>190</v>
      </c>
      <c r="B6" s="9" t="s">
        <v>6</v>
      </c>
      <c r="C6" s="8">
        <v>0.13300000000000001</v>
      </c>
      <c r="D6" s="9" t="s">
        <v>4</v>
      </c>
      <c r="E6" s="8">
        <v>0.14499999999999999</v>
      </c>
      <c r="F6" s="9" t="s">
        <v>4</v>
      </c>
      <c r="G6" s="3">
        <f t="shared" si="0"/>
        <v>0.917241379310345</v>
      </c>
    </row>
    <row r="7" spans="1:7" x14ac:dyDescent="0.25">
      <c r="A7" s="14">
        <v>180</v>
      </c>
      <c r="B7" s="9" t="s">
        <v>6</v>
      </c>
      <c r="C7" s="8">
        <v>0.14000000000000001</v>
      </c>
      <c r="D7" s="9" t="s">
        <v>4</v>
      </c>
      <c r="E7" s="8">
        <v>0.152</v>
      </c>
      <c r="F7" s="9" t="s">
        <v>4</v>
      </c>
      <c r="G7" s="3">
        <f t="shared" si="0"/>
        <v>0.92105263157894746</v>
      </c>
    </row>
    <row r="8" spans="1:7" x14ac:dyDescent="0.25">
      <c r="A8" s="14">
        <v>170</v>
      </c>
      <c r="B8" s="9" t="s">
        <v>6</v>
      </c>
      <c r="C8" s="8">
        <v>0.14799999999999999</v>
      </c>
      <c r="D8" s="9" t="s">
        <v>4</v>
      </c>
      <c r="E8" s="8">
        <v>0.16</v>
      </c>
      <c r="F8" s="9" t="s">
        <v>4</v>
      </c>
      <c r="G8" s="3">
        <f t="shared" si="0"/>
        <v>0.92499999999999993</v>
      </c>
    </row>
    <row r="9" spans="1:7" x14ac:dyDescent="0.25">
      <c r="A9" s="14">
        <v>160</v>
      </c>
      <c r="B9" s="9" t="s">
        <v>6</v>
      </c>
      <c r="C9" s="8">
        <v>0.156</v>
      </c>
      <c r="D9" s="9" t="s">
        <v>4</v>
      </c>
      <c r="E9" s="8">
        <v>0.16800000000000001</v>
      </c>
      <c r="F9" s="9" t="s">
        <v>4</v>
      </c>
      <c r="G9" s="3">
        <f t="shared" si="0"/>
        <v>0.92857142857142849</v>
      </c>
    </row>
    <row r="10" spans="1:7" x14ac:dyDescent="0.25">
      <c r="A10" s="14">
        <v>150</v>
      </c>
      <c r="B10" s="9" t="s">
        <v>6</v>
      </c>
      <c r="C10" s="8">
        <v>0.16600000000000001</v>
      </c>
      <c r="D10" s="9" t="s">
        <v>4</v>
      </c>
      <c r="E10" s="8">
        <v>0.17799999999999999</v>
      </c>
      <c r="F10" s="9" t="s">
        <v>4</v>
      </c>
      <c r="G10" s="3">
        <f t="shared" si="0"/>
        <v>0.93258426966292141</v>
      </c>
    </row>
    <row r="11" spans="1:7" x14ac:dyDescent="0.25">
      <c r="A11" s="14">
        <v>140</v>
      </c>
      <c r="B11" s="9" t="s">
        <v>6</v>
      </c>
      <c r="C11" s="8">
        <v>0.17699999999999999</v>
      </c>
      <c r="D11" s="9" t="s">
        <v>4</v>
      </c>
      <c r="E11" s="8">
        <v>0.189</v>
      </c>
      <c r="F11" s="9" t="s">
        <v>4</v>
      </c>
      <c r="G11" s="3">
        <f t="shared" si="0"/>
        <v>0.9365079365079364</v>
      </c>
    </row>
    <row r="12" spans="1:7" x14ac:dyDescent="0.25">
      <c r="A12" s="10">
        <v>130</v>
      </c>
      <c r="B12" s="9" t="s">
        <v>6</v>
      </c>
      <c r="C12" s="8">
        <v>0.189</v>
      </c>
      <c r="D12" s="9" t="s">
        <v>4</v>
      </c>
      <c r="E12" s="8">
        <v>0.2</v>
      </c>
      <c r="F12" s="9" t="s">
        <v>4</v>
      </c>
      <c r="G12" s="3">
        <f t="shared" si="0"/>
        <v>0.94499999999999995</v>
      </c>
    </row>
    <row r="13" spans="1:7" x14ac:dyDescent="0.25">
      <c r="A13" s="10">
        <v>120</v>
      </c>
      <c r="B13" s="9" t="s">
        <v>6</v>
      </c>
      <c r="C13" s="8">
        <v>0.20300000000000001</v>
      </c>
      <c r="D13" s="9" t="s">
        <v>4</v>
      </c>
      <c r="E13" s="8">
        <v>0.215</v>
      </c>
      <c r="F13" s="9" t="s">
        <v>4</v>
      </c>
      <c r="G13" s="3">
        <f t="shared" si="0"/>
        <v>0.94418604651162796</v>
      </c>
    </row>
    <row r="14" spans="1:7" x14ac:dyDescent="0.25">
      <c r="A14" s="10">
        <v>110</v>
      </c>
      <c r="B14" s="9" t="s">
        <v>6</v>
      </c>
      <c r="C14" s="8">
        <v>0.216</v>
      </c>
      <c r="D14" s="9" t="s">
        <v>4</v>
      </c>
      <c r="E14" s="8">
        <v>0.22900000000000001</v>
      </c>
      <c r="F14" s="9" t="s">
        <v>4</v>
      </c>
      <c r="G14" s="3">
        <f t="shared" si="0"/>
        <v>0.94323144104803491</v>
      </c>
    </row>
    <row r="15" spans="1:7" x14ac:dyDescent="0.25">
      <c r="A15" s="10">
        <v>100</v>
      </c>
      <c r="B15" s="9" t="s">
        <v>6</v>
      </c>
      <c r="C15" s="8">
        <v>0.25</v>
      </c>
      <c r="D15" s="9" t="s">
        <v>4</v>
      </c>
      <c r="E15" s="8">
        <v>0.26200000000000001</v>
      </c>
      <c r="F15" s="9" t="s">
        <v>4</v>
      </c>
      <c r="G15" s="3">
        <f>C15/E15</f>
        <v>0.95419847328244267</v>
      </c>
    </row>
    <row r="16" spans="1:7" x14ac:dyDescent="0.25">
      <c r="A16" s="10">
        <v>90</v>
      </c>
      <c r="B16" s="9" t="s">
        <v>6</v>
      </c>
      <c r="C16" s="8">
        <v>0.27800000000000002</v>
      </c>
      <c r="D16" s="9" t="s">
        <v>4</v>
      </c>
      <c r="E16" s="8">
        <v>0.28999999999999998</v>
      </c>
      <c r="F16" s="9" t="s">
        <v>4</v>
      </c>
      <c r="G16" s="3">
        <f t="shared" ref="G16:G30" si="1">C16/E16</f>
        <v>0.95862068965517255</v>
      </c>
    </row>
    <row r="17" spans="1:7" x14ac:dyDescent="0.25">
      <c r="A17" s="10">
        <v>80</v>
      </c>
      <c r="B17" s="9" t="s">
        <v>6</v>
      </c>
      <c r="C17" s="8">
        <v>0.311</v>
      </c>
      <c r="D17" s="9" t="s">
        <v>4</v>
      </c>
      <c r="E17" s="8">
        <v>0.32300000000000001</v>
      </c>
      <c r="F17" s="9" t="s">
        <v>4</v>
      </c>
      <c r="G17" s="3">
        <f t="shared" si="1"/>
        <v>0.96284829721362231</v>
      </c>
    </row>
    <row r="18" spans="1:7" x14ac:dyDescent="0.25">
      <c r="A18" s="10">
        <v>70</v>
      </c>
      <c r="B18" s="9" t="s">
        <v>6</v>
      </c>
      <c r="C18" s="8">
        <v>0.35399999999999998</v>
      </c>
      <c r="D18" s="9" t="s">
        <v>4</v>
      </c>
      <c r="E18" s="8">
        <v>0.36699999999999999</v>
      </c>
      <c r="F18" s="9" t="s">
        <v>4</v>
      </c>
      <c r="G18" s="3">
        <f t="shared" si="1"/>
        <v>0.96457765667574924</v>
      </c>
    </row>
    <row r="19" spans="1:7" x14ac:dyDescent="0.25">
      <c r="A19" s="10">
        <v>60</v>
      </c>
      <c r="B19" s="9" t="s">
        <v>6</v>
      </c>
      <c r="C19" s="8">
        <v>0.41099999999999998</v>
      </c>
      <c r="D19" s="9" t="s">
        <v>4</v>
      </c>
      <c r="E19" s="8">
        <v>0.42299999999999999</v>
      </c>
      <c r="F19" s="9" t="s">
        <v>4</v>
      </c>
      <c r="G19" s="3">
        <f t="shared" si="1"/>
        <v>0.97163120567375882</v>
      </c>
    </row>
    <row r="20" spans="1:7" x14ac:dyDescent="0.25">
      <c r="A20" s="10">
        <v>50</v>
      </c>
      <c r="B20" s="9" t="s">
        <v>6</v>
      </c>
      <c r="C20" s="8">
        <v>0.49</v>
      </c>
      <c r="D20" s="9" t="s">
        <v>4</v>
      </c>
      <c r="E20" s="8">
        <v>0.503</v>
      </c>
      <c r="F20" s="9" t="s">
        <v>4</v>
      </c>
      <c r="G20" s="3">
        <f t="shared" si="1"/>
        <v>0.97415506958250497</v>
      </c>
    </row>
    <row r="21" spans="1:7" x14ac:dyDescent="0.25">
      <c r="A21" s="10">
        <v>40</v>
      </c>
      <c r="B21" s="9" t="s">
        <v>6</v>
      </c>
      <c r="C21" s="8">
        <v>0.60899999999999999</v>
      </c>
      <c r="D21" s="9" t="s">
        <v>4</v>
      </c>
      <c r="E21" s="8">
        <v>0.623</v>
      </c>
      <c r="F21" s="9" t="s">
        <v>4</v>
      </c>
      <c r="G21" s="3">
        <f t="shared" si="1"/>
        <v>0.97752808988764039</v>
      </c>
    </row>
    <row r="22" spans="1:7" x14ac:dyDescent="0.25">
      <c r="A22" s="10">
        <v>30</v>
      </c>
      <c r="B22" s="9" t="s">
        <v>6</v>
      </c>
      <c r="C22" s="8">
        <v>0.80600000000000005</v>
      </c>
      <c r="D22" s="9" t="s">
        <v>4</v>
      </c>
      <c r="E22" s="8">
        <v>0.82099999999999995</v>
      </c>
      <c r="F22" s="9" t="s">
        <v>4</v>
      </c>
      <c r="G22" s="3">
        <f t="shared" si="1"/>
        <v>0.98172959805115723</v>
      </c>
    </row>
    <row r="23" spans="1:7" x14ac:dyDescent="0.25">
      <c r="A23" s="10">
        <v>20</v>
      </c>
      <c r="B23" s="9" t="s">
        <v>6</v>
      </c>
      <c r="C23" s="8">
        <v>1.1970000000000001</v>
      </c>
      <c r="D23" s="9" t="s">
        <v>4</v>
      </c>
      <c r="E23" s="8">
        <v>1.2130000000000001</v>
      </c>
      <c r="F23" s="9" t="s">
        <v>4</v>
      </c>
      <c r="G23" s="3">
        <f t="shared" si="1"/>
        <v>0.98680956306677658</v>
      </c>
    </row>
    <row r="24" spans="1:7" x14ac:dyDescent="0.25">
      <c r="A24" s="11">
        <v>15</v>
      </c>
      <c r="B24" s="9" t="s">
        <v>6</v>
      </c>
      <c r="C24" s="8">
        <v>1.5820000000000001</v>
      </c>
      <c r="D24" s="9" t="s">
        <v>4</v>
      </c>
      <c r="E24" s="8">
        <v>1.6</v>
      </c>
      <c r="F24" s="9" t="s">
        <v>4</v>
      </c>
      <c r="G24" s="3">
        <f t="shared" si="1"/>
        <v>0.98875000000000002</v>
      </c>
    </row>
    <row r="25" spans="1:7" x14ac:dyDescent="0.25">
      <c r="A25" s="10">
        <v>10</v>
      </c>
      <c r="B25" s="9" t="s">
        <v>6</v>
      </c>
      <c r="C25" s="8">
        <v>2.35</v>
      </c>
      <c r="D25" s="9" t="s">
        <v>4</v>
      </c>
      <c r="E25" s="8">
        <v>2.3719999999999999</v>
      </c>
      <c r="F25" s="9" t="s">
        <v>4</v>
      </c>
      <c r="G25" s="3">
        <f t="shared" si="1"/>
        <v>0.99072512647554811</v>
      </c>
    </row>
    <row r="26" spans="1:7" x14ac:dyDescent="0.25">
      <c r="A26" s="11">
        <v>9</v>
      </c>
      <c r="B26" s="9" t="s">
        <v>6</v>
      </c>
      <c r="C26" s="8">
        <v>2.5990000000000002</v>
      </c>
      <c r="D26" s="9" t="s">
        <v>4</v>
      </c>
      <c r="E26" s="8">
        <v>2.621</v>
      </c>
      <c r="F26" s="9" t="s">
        <v>4</v>
      </c>
      <c r="G26" s="3">
        <f t="shared" si="1"/>
        <v>0.99160625715375816</v>
      </c>
    </row>
    <row r="27" spans="1:7" x14ac:dyDescent="0.25">
      <c r="A27" s="11">
        <v>8</v>
      </c>
      <c r="B27" s="9" t="s">
        <v>6</v>
      </c>
      <c r="C27" s="8">
        <v>2.91</v>
      </c>
      <c r="D27" s="9" t="s">
        <v>4</v>
      </c>
      <c r="E27" s="8">
        <v>2.9350000000000001</v>
      </c>
      <c r="F27" s="9" t="s">
        <v>4</v>
      </c>
      <c r="G27" s="3">
        <f t="shared" si="1"/>
        <v>0.99148211243611584</v>
      </c>
    </row>
    <row r="28" spans="1:7" x14ac:dyDescent="0.25">
      <c r="A28" s="11">
        <v>7</v>
      </c>
      <c r="B28" s="9" t="s">
        <v>6</v>
      </c>
      <c r="C28" s="8">
        <v>3.3140000000000001</v>
      </c>
      <c r="D28" s="9" t="s">
        <v>4</v>
      </c>
      <c r="E28" s="8">
        <v>3.339</v>
      </c>
      <c r="F28" s="9" t="s">
        <v>4</v>
      </c>
      <c r="G28" s="3">
        <f t="shared" si="1"/>
        <v>0.99251272836178495</v>
      </c>
    </row>
    <row r="29" spans="1:7" x14ac:dyDescent="0.25">
      <c r="A29" s="11">
        <v>6</v>
      </c>
      <c r="B29" s="9" t="s">
        <v>6</v>
      </c>
      <c r="C29" s="12">
        <v>3.8330000000000002</v>
      </c>
      <c r="D29" s="9" t="s">
        <v>4</v>
      </c>
      <c r="E29" s="12">
        <v>3.86</v>
      </c>
      <c r="F29" s="9" t="s">
        <v>4</v>
      </c>
      <c r="G29" s="3">
        <f t="shared" si="1"/>
        <v>0.99300518134715032</v>
      </c>
    </row>
    <row r="30" spans="1:7" x14ac:dyDescent="0.25">
      <c r="A30" s="11">
        <v>5</v>
      </c>
      <c r="B30" s="13" t="s">
        <v>6</v>
      </c>
      <c r="C30" s="12">
        <v>4.5590000000000002</v>
      </c>
      <c r="D30" s="9" t="s">
        <v>4</v>
      </c>
      <c r="E30" s="12">
        <v>4.5910000000000002</v>
      </c>
      <c r="F30" s="13" t="s">
        <v>4</v>
      </c>
      <c r="G30" s="3">
        <f t="shared" si="1"/>
        <v>0.99302984099324765</v>
      </c>
    </row>
    <row r="31" spans="1:7" x14ac:dyDescent="0.25">
      <c r="A31" s="11"/>
      <c r="B31" s="10"/>
      <c r="D31" s="10"/>
      <c r="F31" s="10"/>
    </row>
    <row r="32" spans="1:7" ht="15.75" thickBot="1" x14ac:dyDescent="0.3">
      <c r="A32" s="11"/>
      <c r="F32" s="4" t="s">
        <v>7</v>
      </c>
      <c r="G32" s="20">
        <f>AVERAGE(G5:G30)</f>
        <v>0.96077900337676447</v>
      </c>
    </row>
    <row r="33" ht="15.75" thickTop="1" x14ac:dyDescent="0.25"/>
  </sheetData>
  <mergeCells count="4">
    <mergeCell ref="C3:D3"/>
    <mergeCell ref="E3:F3"/>
    <mergeCell ref="A1:F1"/>
    <mergeCell ref="A3:B3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Schoen</dc:creator>
  <cp:lastModifiedBy>Michael Schoen</cp:lastModifiedBy>
  <dcterms:created xsi:type="dcterms:W3CDTF">2025-10-25T08:55:36Z</dcterms:created>
  <dcterms:modified xsi:type="dcterms:W3CDTF">2025-10-25T11:30:52Z</dcterms:modified>
</cp:coreProperties>
</file>